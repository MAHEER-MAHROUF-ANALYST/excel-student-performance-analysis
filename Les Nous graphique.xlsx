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20490" windowHeight="7755" activeTab="1"/>
  </bookViews>
  <sheets>
    <sheet name="Feuil2" sheetId="2" r:id="rId1"/>
    <sheet name="Feuil1" sheetId="1" r:id="rId2"/>
  </sheets>
  <definedNames>
    <definedName name="_xlnm._FilterDatabase" localSheetId="1" hidden="1">Feuil1!$A$1:$K$7</definedName>
  </definedName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K5" i="1" l="1"/>
  <c r="K3" i="1"/>
  <c r="K4" i="1"/>
  <c r="J3" i="1"/>
  <c r="J5" i="1"/>
  <c r="H2" i="1"/>
  <c r="G11" i="1" l="1"/>
  <c r="D11" i="1"/>
  <c r="D10" i="1"/>
  <c r="J4" i="1"/>
  <c r="J7" i="1"/>
  <c r="J6" i="1"/>
  <c r="J2" i="1"/>
  <c r="H3" i="1"/>
  <c r="K7" i="1"/>
  <c r="K6" i="1"/>
  <c r="K2" i="1"/>
  <c r="H4" i="1"/>
  <c r="H7" i="1"/>
  <c r="H5" i="1"/>
  <c r="H6" i="1"/>
  <c r="H11" i="1"/>
  <c r="F11" i="1"/>
  <c r="E11" i="1"/>
  <c r="C11" i="1"/>
  <c r="H10" i="1"/>
  <c r="G10" i="1"/>
  <c r="F10" i="1"/>
  <c r="E10" i="1"/>
</calcChain>
</file>

<file path=xl/sharedStrings.xml><?xml version="1.0" encoding="utf-8"?>
<sst xmlns="http://schemas.openxmlformats.org/spreadsheetml/2006/main" count="49" uniqueCount="32">
  <si>
    <t>Éleves</t>
  </si>
  <si>
    <t>ZAKA</t>
  </si>
  <si>
    <t>SAID</t>
  </si>
  <si>
    <t>MAHROUF</t>
  </si>
  <si>
    <t>AWAL</t>
  </si>
  <si>
    <t>SOULEY</t>
  </si>
  <si>
    <t>Sexe</t>
  </si>
  <si>
    <t>F</t>
  </si>
  <si>
    <t>M</t>
  </si>
  <si>
    <t>Math</t>
  </si>
  <si>
    <t>Science</t>
  </si>
  <si>
    <t>Philo</t>
  </si>
  <si>
    <t>Litt</t>
  </si>
  <si>
    <t>Mahrouf</t>
  </si>
  <si>
    <t>Said</t>
  </si>
  <si>
    <t>Zaka</t>
  </si>
  <si>
    <t>Souley</t>
  </si>
  <si>
    <t>Awal</t>
  </si>
  <si>
    <t>Plus forte note</t>
  </si>
  <si>
    <t>Plus faible note</t>
  </si>
  <si>
    <t>D'honneur du travail</t>
  </si>
  <si>
    <t>Prime</t>
  </si>
  <si>
    <t>Algo-Prog</t>
  </si>
  <si>
    <t>Genre</t>
  </si>
  <si>
    <t>Musharaf</t>
  </si>
  <si>
    <t>Étiquettes de lignes</t>
  </si>
  <si>
    <t>Total général</t>
  </si>
  <si>
    <t>Somme de Math</t>
  </si>
  <si>
    <t>Somme de Science</t>
  </si>
  <si>
    <t>Somme de Algo-Prog</t>
  </si>
  <si>
    <t>Somme de Philo</t>
  </si>
  <si>
    <t>Somme de Litt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</si>
</sst>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1" xfId="0" applyNumberFormat="1" applyFont="1" applyFill="1" applyBorder="1" applyAlignment="1">
      <alignment horizontal="centerContinuous" wrapText="1" readingOrder="1"/>
    </xf>
    <xf numFmtId="0" fontId="1" fillId="2" borderId="1" xfId="0" applyFont="1" applyFill="1" applyBorder="1" applyAlignment="1">
      <alignment horizontal="centerContinuous" readingOrder="1"/>
    </xf>
    <xf numFmtId="0" fontId="1" fillId="2" borderId="0" xfId="0" applyFont="1" applyFill="1" applyBorder="1" applyAlignment="1">
      <alignment horizontal="centerContinuous" readingOrder="1"/>
    </xf>
    <xf numFmtId="0" fontId="0" fillId="0" borderId="1" xfId="0" applyNumberFormat="1" applyBorder="1" applyAlignment="1">
      <alignment horizontal="centerContinuous" readingOrder="1"/>
    </xf>
    <xf numFmtId="0" fontId="0" fillId="0" borderId="1" xfId="0" applyBorder="1" applyAlignment="1">
      <alignment horizontal="centerContinuous" readingOrder="1"/>
    </xf>
    <xf numFmtId="0" fontId="1" fillId="2" borderId="3" xfId="0" applyFont="1" applyFill="1" applyBorder="1" applyAlignment="1">
      <alignment horizontal="centerContinuous" readingOrder="1"/>
    </xf>
    <xf numFmtId="0" fontId="1" fillId="2" borderId="2" xfId="0" applyFont="1" applyFill="1" applyBorder="1" applyAlignment="1">
      <alignment horizontal="centerContinuous" readingOrder="1"/>
    </xf>
    <xf numFmtId="0" fontId="0" fillId="0" borderId="3" xfId="0" applyBorder="1" applyAlignment="1">
      <alignment horizontal="centerContinuous" readingOrder="1"/>
    </xf>
    <xf numFmtId="0" fontId="0" fillId="0" borderId="2" xfId="0" applyBorder="1" applyAlignment="1">
      <alignment horizontal="centerContinuous" readingOrder="1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00B05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Nous graphique.xlsx]Feuil2!Tableau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i="1">
                <a:solidFill>
                  <a:schemeClr val="tx1"/>
                </a:solidFill>
              </a:rPr>
              <a:t>Répartition</a:t>
            </a:r>
            <a:r>
              <a:rPr lang="fr-FR" i="1" baseline="0">
                <a:solidFill>
                  <a:schemeClr val="tx1"/>
                </a:solidFill>
              </a:rPr>
              <a:t> des notes des eleves et matiere</a:t>
            </a:r>
            <a:endParaRPr lang="fr-FR" i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409147273941285"/>
          <c:y val="8.1945509023761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Somme de Math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Feuil2!$A$4:$A$16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AWAL</c:v>
                  </c:pt>
                  <c:pt idx="1">
                    <c:v>MAHROUF</c:v>
                  </c:pt>
                  <c:pt idx="2">
                    <c:v>Musharaf</c:v>
                  </c:pt>
                  <c:pt idx="3">
                    <c:v>SAID</c:v>
                  </c:pt>
                  <c:pt idx="4">
                    <c:v>SOULEY</c:v>
                  </c:pt>
                  <c:pt idx="5">
                    <c:v>ZAKA</c:v>
                  </c:pt>
                </c:lvl>
              </c:multiLvlStrCache>
            </c:multiLvlStrRef>
          </c:cat>
          <c:val>
            <c:numRef>
              <c:f>Feuil2!$B$4:$B$16</c:f>
              <c:numCache>
                <c:formatCode>General</c:formatCode>
                <c:ptCount val="6"/>
                <c:pt idx="0">
                  <c:v>12</c:v>
                </c:pt>
                <c:pt idx="1">
                  <c:v>14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</c:ser>
        <c:ser>
          <c:idx val="1"/>
          <c:order val="1"/>
          <c:tx>
            <c:strRef>
              <c:f>Feuil2!$C$3</c:f>
              <c:strCache>
                <c:ptCount val="1"/>
                <c:pt idx="0">
                  <c:v>Somme de Science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Feuil2!$A$4:$A$16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AWAL</c:v>
                  </c:pt>
                  <c:pt idx="1">
                    <c:v>MAHROUF</c:v>
                  </c:pt>
                  <c:pt idx="2">
                    <c:v>Musharaf</c:v>
                  </c:pt>
                  <c:pt idx="3">
                    <c:v>SAID</c:v>
                  </c:pt>
                  <c:pt idx="4">
                    <c:v>SOULEY</c:v>
                  </c:pt>
                  <c:pt idx="5">
                    <c:v>ZAKA</c:v>
                  </c:pt>
                </c:lvl>
              </c:multiLvlStrCache>
            </c:multiLvlStrRef>
          </c:cat>
          <c:val>
            <c:numRef>
              <c:f>Feuil2!$C$4:$C$16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12</c:v>
                </c:pt>
                <c:pt idx="4">
                  <c:v>16</c:v>
                </c:pt>
                <c:pt idx="5">
                  <c:v>13</c:v>
                </c:pt>
              </c:numCache>
            </c:numRef>
          </c:val>
        </c:ser>
        <c:ser>
          <c:idx val="2"/>
          <c:order val="2"/>
          <c:tx>
            <c:strRef>
              <c:f>Feuil2!$D$3</c:f>
              <c:strCache>
                <c:ptCount val="1"/>
                <c:pt idx="0">
                  <c:v>Somme de Algo-Prog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Feuil2!$A$4:$A$16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AWAL</c:v>
                  </c:pt>
                  <c:pt idx="1">
                    <c:v>MAHROUF</c:v>
                  </c:pt>
                  <c:pt idx="2">
                    <c:v>Musharaf</c:v>
                  </c:pt>
                  <c:pt idx="3">
                    <c:v>SAID</c:v>
                  </c:pt>
                  <c:pt idx="4">
                    <c:v>SOULEY</c:v>
                  </c:pt>
                  <c:pt idx="5">
                    <c:v>ZAKA</c:v>
                  </c:pt>
                </c:lvl>
              </c:multiLvlStrCache>
            </c:multiLvlStrRef>
          </c:cat>
          <c:val>
            <c:numRef>
              <c:f>Feuil2!$D$4:$D$16</c:f>
              <c:numCache>
                <c:formatCode>General</c:formatCode>
                <c:ptCount val="6"/>
                <c:pt idx="0">
                  <c:v>11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6</c:v>
                </c:pt>
              </c:numCache>
            </c:numRef>
          </c:val>
        </c:ser>
        <c:ser>
          <c:idx val="3"/>
          <c:order val="3"/>
          <c:tx>
            <c:strRef>
              <c:f>Feuil2!$E$3</c:f>
              <c:strCache>
                <c:ptCount val="1"/>
                <c:pt idx="0">
                  <c:v>Somme de Philo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Feuil2!$A$4:$A$16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AWAL</c:v>
                  </c:pt>
                  <c:pt idx="1">
                    <c:v>MAHROUF</c:v>
                  </c:pt>
                  <c:pt idx="2">
                    <c:v>Musharaf</c:v>
                  </c:pt>
                  <c:pt idx="3">
                    <c:v>SAID</c:v>
                  </c:pt>
                  <c:pt idx="4">
                    <c:v>SOULEY</c:v>
                  </c:pt>
                  <c:pt idx="5">
                    <c:v>ZAKA</c:v>
                  </c:pt>
                </c:lvl>
              </c:multiLvlStrCache>
            </c:multiLvlStrRef>
          </c:cat>
          <c:val>
            <c:numRef>
              <c:f>Feuil2!$E$4:$E$16</c:f>
              <c:numCache>
                <c:formatCode>General</c:formatCode>
                <c:ptCount val="6"/>
                <c:pt idx="0">
                  <c:v>7</c:v>
                </c:pt>
                <c:pt idx="1">
                  <c:v>17</c:v>
                </c:pt>
                <c:pt idx="2">
                  <c:v>16</c:v>
                </c:pt>
                <c:pt idx="3">
                  <c:v>14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</c:ser>
        <c:ser>
          <c:idx val="4"/>
          <c:order val="4"/>
          <c:tx>
            <c:strRef>
              <c:f>Feuil2!$F$3</c:f>
              <c:strCache>
                <c:ptCount val="1"/>
                <c:pt idx="0">
                  <c:v>Somme de Litt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Feuil2!$A$4:$A$16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AWAL</c:v>
                  </c:pt>
                  <c:pt idx="1">
                    <c:v>MAHROUF</c:v>
                  </c:pt>
                  <c:pt idx="2">
                    <c:v>Musharaf</c:v>
                  </c:pt>
                  <c:pt idx="3">
                    <c:v>SAID</c:v>
                  </c:pt>
                  <c:pt idx="4">
                    <c:v>SOULEY</c:v>
                  </c:pt>
                  <c:pt idx="5">
                    <c:v>ZAKA</c:v>
                  </c:pt>
                </c:lvl>
              </c:multiLvlStrCache>
            </c:multiLvlStrRef>
          </c:cat>
          <c:val>
            <c:numRef>
              <c:f>Feuil2!$F$4:$F$16</c:f>
              <c:numCache>
                <c:formatCode>General</c:formatCode>
                <c:ptCount val="6"/>
                <c:pt idx="0">
                  <c:v>5</c:v>
                </c:pt>
                <c:pt idx="1">
                  <c:v>9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54939344"/>
        <c:axId val="354941304"/>
      </c:barChart>
      <c:catAx>
        <c:axId val="35493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4941304"/>
        <c:crosses val="autoZero"/>
        <c:auto val="1"/>
        <c:lblAlgn val="ctr"/>
        <c:lblOffset val="100"/>
        <c:noMultiLvlLbl val="0"/>
      </c:catAx>
      <c:valAx>
        <c:axId val="35494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493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>
      <c:oddHeader>&amp;C Analyse Notes BTS S1-MAHEER MAHROUF</c:oddHeader>
      <c:oddFooter>&amp;CAnalyse Notes BTS S1-MAHEER MAHROUF</c:oddFooter>
    </c:headerFooter>
    <c:pageMargins b="0.74803149606299213" l="0.70866141732283472" r="0.70866141732283472" t="0.74803149606299213" header="0.31496062992125984" footer="0.31496062992125984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16</xdr:row>
      <xdr:rowOff>152400</xdr:rowOff>
    </xdr:from>
    <xdr:to>
      <xdr:col>10</xdr:col>
      <xdr:colOff>333375</xdr:colOff>
      <xdr:row>39</xdr:row>
      <xdr:rowOff>76200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55.594366666664" createdVersion="5" refreshedVersion="5" minRefreshableVersion="3" recordCount="6">
  <cacheSource type="worksheet">
    <worksheetSource ref="A1:G7" sheet="Feuil1"/>
  </cacheSource>
  <cacheFields count="7">
    <cacheField name="Éleves" numFmtId="0">
      <sharedItems count="6">
        <s v="ZAKA"/>
        <s v="SAID"/>
        <s v="MAHROUF"/>
        <s v="AWAL"/>
        <s v="SOULEY"/>
        <s v="Musharaf"/>
      </sharedItems>
    </cacheField>
    <cacheField name="Sexe" numFmtId="0">
      <sharedItems count="2">
        <s v="F"/>
        <s v="M"/>
      </sharedItems>
    </cacheField>
    <cacheField name="Math" numFmtId="0">
      <sharedItems containsSemiMixedTypes="0" containsString="0" containsNumber="1" containsInteger="1" minValue="5" maxValue="14"/>
    </cacheField>
    <cacheField name="Science" numFmtId="0">
      <sharedItems containsSemiMixedTypes="0" containsString="0" containsNumber="1" containsInteger="1" minValue="10" maxValue="16"/>
    </cacheField>
    <cacheField name="Algo-Prog" numFmtId="0">
      <sharedItems containsSemiMixedTypes="0" containsString="0" containsNumber="1" containsInteger="1" minValue="6" maxValue="15"/>
    </cacheField>
    <cacheField name="Philo" numFmtId="0">
      <sharedItems containsSemiMixedTypes="0" containsString="0" containsNumber="1" containsInteger="1" minValue="7" maxValue="17"/>
    </cacheField>
    <cacheField name="Litt" numFmtId="0">
      <sharedItems containsSemiMixedTypes="0" containsString="0" containsNumber="1" containsInteger="1" minValue="4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n v="9"/>
    <n v="13"/>
    <n v="6"/>
    <n v="11"/>
    <n v="7"/>
  </r>
  <r>
    <x v="1"/>
    <x v="1"/>
    <n v="7"/>
    <n v="12"/>
    <n v="10"/>
    <n v="14"/>
    <n v="6"/>
  </r>
  <r>
    <x v="2"/>
    <x v="1"/>
    <n v="14"/>
    <n v="10"/>
    <n v="15"/>
    <n v="17"/>
    <n v="9"/>
  </r>
  <r>
    <x v="3"/>
    <x v="0"/>
    <n v="12"/>
    <n v="10"/>
    <n v="11"/>
    <n v="7"/>
    <n v="5"/>
  </r>
  <r>
    <x v="4"/>
    <x v="1"/>
    <n v="5"/>
    <n v="16"/>
    <n v="13"/>
    <n v="13"/>
    <n v="4"/>
  </r>
  <r>
    <x v="5"/>
    <x v="0"/>
    <n v="8"/>
    <n v="15"/>
    <n v="10"/>
    <n v="16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2">
  <location ref="A3:F16" firstHeaderRow="0" firstDataRow="1" firstDataCol="1"/>
  <pivotFields count="7">
    <pivotField axis="axisRow" showAll="0">
      <items count="7">
        <item x="3"/>
        <item x="2"/>
        <item x="5"/>
        <item x="1"/>
        <item x="4"/>
        <item x="0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13">
    <i>
      <x/>
    </i>
    <i r="1">
      <x/>
    </i>
    <i>
      <x v="1"/>
    </i>
    <i r="1">
      <x v="1"/>
    </i>
    <i>
      <x v="2"/>
    </i>
    <i r="1">
      <x/>
    </i>
    <i>
      <x v="3"/>
    </i>
    <i r="1">
      <x v="1"/>
    </i>
    <i>
      <x v="4"/>
    </i>
    <i r="1">
      <x v="1"/>
    </i>
    <i>
      <x v="5"/>
    </i>
    <i r="1"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Math" fld="2" baseField="0" baseItem="0"/>
    <dataField name="Somme de Science" fld="3" baseField="0" baseItem="0"/>
    <dataField name="Somme de Algo-Prog" fld="4" baseField="0" baseItem="0"/>
    <dataField name="Somme de Philo" fld="5" baseField="0" baseItem="0"/>
    <dataField name="Somme de Litt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3:F16"/>
  <sheetViews>
    <sheetView topLeftCell="A17" workbookViewId="0">
      <selection activeCell="B30" sqref="B30"/>
    </sheetView>
  </sheetViews>
  <sheetFormatPr baseColWidth="10" defaultRowHeight="15" x14ac:dyDescent="0.25"/>
  <cols>
    <col min="1" max="1" width="21" bestFit="1" customWidth="1"/>
    <col min="2" max="2" width="15.5703125" bestFit="1" customWidth="1"/>
    <col min="3" max="3" width="17.7109375" bestFit="1" customWidth="1"/>
    <col min="4" max="4" width="19.7109375" bestFit="1" customWidth="1"/>
    <col min="5" max="5" width="15.42578125" bestFit="1" customWidth="1"/>
    <col min="6" max="6" width="13.7109375" bestFit="1" customWidth="1"/>
  </cols>
  <sheetData>
    <row r="3" spans="1:6" x14ac:dyDescent="0.25">
      <c r="A3" s="5" t="s">
        <v>25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</row>
    <row r="4" spans="1:6" x14ac:dyDescent="0.25">
      <c r="A4" s="6" t="s">
        <v>4</v>
      </c>
      <c r="B4" s="1">
        <v>12</v>
      </c>
      <c r="C4" s="1">
        <v>10</v>
      </c>
      <c r="D4" s="1">
        <v>11</v>
      </c>
      <c r="E4" s="1">
        <v>7</v>
      </c>
      <c r="F4" s="1">
        <v>5</v>
      </c>
    </row>
    <row r="5" spans="1:6" x14ac:dyDescent="0.25">
      <c r="A5" s="7" t="s">
        <v>7</v>
      </c>
      <c r="B5" s="1">
        <v>12</v>
      </c>
      <c r="C5" s="1">
        <v>10</v>
      </c>
      <c r="D5" s="1">
        <v>11</v>
      </c>
      <c r="E5" s="1">
        <v>7</v>
      </c>
      <c r="F5" s="1">
        <v>5</v>
      </c>
    </row>
    <row r="6" spans="1:6" x14ac:dyDescent="0.25">
      <c r="A6" s="6" t="s">
        <v>3</v>
      </c>
      <c r="B6" s="1">
        <v>14</v>
      </c>
      <c r="C6" s="1">
        <v>10</v>
      </c>
      <c r="D6" s="1">
        <v>15</v>
      </c>
      <c r="E6" s="1">
        <v>17</v>
      </c>
      <c r="F6" s="1">
        <v>9</v>
      </c>
    </row>
    <row r="7" spans="1:6" x14ac:dyDescent="0.25">
      <c r="A7" s="7" t="s">
        <v>8</v>
      </c>
      <c r="B7" s="1">
        <v>14</v>
      </c>
      <c r="C7" s="1">
        <v>10</v>
      </c>
      <c r="D7" s="1">
        <v>15</v>
      </c>
      <c r="E7" s="1">
        <v>17</v>
      </c>
      <c r="F7" s="1">
        <v>9</v>
      </c>
    </row>
    <row r="8" spans="1:6" x14ac:dyDescent="0.25">
      <c r="A8" s="6" t="s">
        <v>24</v>
      </c>
      <c r="B8" s="1">
        <v>8</v>
      </c>
      <c r="C8" s="1">
        <v>15</v>
      </c>
      <c r="D8" s="1">
        <v>10</v>
      </c>
      <c r="E8" s="1">
        <v>16</v>
      </c>
      <c r="F8" s="1">
        <v>8</v>
      </c>
    </row>
    <row r="9" spans="1:6" x14ac:dyDescent="0.25">
      <c r="A9" s="7" t="s">
        <v>7</v>
      </c>
      <c r="B9" s="1">
        <v>8</v>
      </c>
      <c r="C9" s="1">
        <v>15</v>
      </c>
      <c r="D9" s="1">
        <v>10</v>
      </c>
      <c r="E9" s="1">
        <v>16</v>
      </c>
      <c r="F9" s="1">
        <v>8</v>
      </c>
    </row>
    <row r="10" spans="1:6" x14ac:dyDescent="0.25">
      <c r="A10" s="6" t="s">
        <v>2</v>
      </c>
      <c r="B10" s="1">
        <v>7</v>
      </c>
      <c r="C10" s="1">
        <v>12</v>
      </c>
      <c r="D10" s="1">
        <v>10</v>
      </c>
      <c r="E10" s="1">
        <v>14</v>
      </c>
      <c r="F10" s="1">
        <v>6</v>
      </c>
    </row>
    <row r="11" spans="1:6" x14ac:dyDescent="0.25">
      <c r="A11" s="7" t="s">
        <v>8</v>
      </c>
      <c r="B11" s="1">
        <v>7</v>
      </c>
      <c r="C11" s="1">
        <v>12</v>
      </c>
      <c r="D11" s="1">
        <v>10</v>
      </c>
      <c r="E11" s="1">
        <v>14</v>
      </c>
      <c r="F11" s="1">
        <v>6</v>
      </c>
    </row>
    <row r="12" spans="1:6" x14ac:dyDescent="0.25">
      <c r="A12" s="6" t="s">
        <v>5</v>
      </c>
      <c r="B12" s="1">
        <v>5</v>
      </c>
      <c r="C12" s="1">
        <v>16</v>
      </c>
      <c r="D12" s="1">
        <v>13</v>
      </c>
      <c r="E12" s="1">
        <v>13</v>
      </c>
      <c r="F12" s="1">
        <v>4</v>
      </c>
    </row>
    <row r="13" spans="1:6" x14ac:dyDescent="0.25">
      <c r="A13" s="7" t="s">
        <v>8</v>
      </c>
      <c r="B13" s="1">
        <v>5</v>
      </c>
      <c r="C13" s="1">
        <v>16</v>
      </c>
      <c r="D13" s="1">
        <v>13</v>
      </c>
      <c r="E13" s="1">
        <v>13</v>
      </c>
      <c r="F13" s="1">
        <v>4</v>
      </c>
    </row>
    <row r="14" spans="1:6" x14ac:dyDescent="0.25">
      <c r="A14" s="6" t="s">
        <v>1</v>
      </c>
      <c r="B14" s="1">
        <v>9</v>
      </c>
      <c r="C14" s="1">
        <v>13</v>
      </c>
      <c r="D14" s="1">
        <v>6</v>
      </c>
      <c r="E14" s="1">
        <v>11</v>
      </c>
      <c r="F14" s="1">
        <v>7</v>
      </c>
    </row>
    <row r="15" spans="1:6" x14ac:dyDescent="0.25">
      <c r="A15" s="7" t="s">
        <v>7</v>
      </c>
      <c r="B15" s="1">
        <v>9</v>
      </c>
      <c r="C15" s="1">
        <v>13</v>
      </c>
      <c r="D15" s="1">
        <v>6</v>
      </c>
      <c r="E15" s="1">
        <v>11</v>
      </c>
      <c r="F15" s="1">
        <v>7</v>
      </c>
    </row>
    <row r="16" spans="1:6" x14ac:dyDescent="0.25">
      <c r="A16" s="6" t="s">
        <v>26</v>
      </c>
      <c r="B16" s="1">
        <v>55</v>
      </c>
      <c r="C16" s="1">
        <v>76</v>
      </c>
      <c r="D16" s="1">
        <v>65</v>
      </c>
      <c r="E16" s="1">
        <v>78</v>
      </c>
      <c r="F16" s="1">
        <v>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K11"/>
  <sheetViews>
    <sheetView tabSelected="1" zoomScale="130" zoomScaleNormal="130" workbookViewId="0">
      <pane ySplit="1" topLeftCell="A2" activePane="bottomLeft" state="frozen"/>
      <selection pane="bottomLeft" activeCell="C2" sqref="C2"/>
    </sheetView>
  </sheetViews>
  <sheetFormatPr baseColWidth="10" defaultRowHeight="15" x14ac:dyDescent="0.25"/>
  <cols>
    <col min="1" max="1" width="9" customWidth="1"/>
    <col min="7" max="7" width="11.7109375" customWidth="1"/>
    <col min="10" max="10" width="17.28515625" customWidth="1"/>
    <col min="11" max="11" width="17.140625" customWidth="1"/>
  </cols>
  <sheetData>
    <row r="1" spans="1:11" ht="15.75" thickBot="1" x14ac:dyDescent="0.3">
      <c r="A1" s="8" t="s">
        <v>0</v>
      </c>
      <c r="B1" s="9" t="s">
        <v>6</v>
      </c>
      <c r="C1" s="9" t="s">
        <v>9</v>
      </c>
      <c r="D1" s="9" t="s">
        <v>10</v>
      </c>
      <c r="E1" s="9" t="s">
        <v>22</v>
      </c>
      <c r="F1" s="9" t="s">
        <v>11</v>
      </c>
      <c r="G1" s="9" t="s">
        <v>12</v>
      </c>
      <c r="H1" s="13" t="s">
        <v>20</v>
      </c>
      <c r="I1" s="14"/>
      <c r="J1" s="10" t="s">
        <v>21</v>
      </c>
      <c r="K1" s="9" t="s">
        <v>23</v>
      </c>
    </row>
    <row r="2" spans="1:11" ht="15.75" thickBot="1" x14ac:dyDescent="0.3">
      <c r="A2" s="11" t="s">
        <v>1</v>
      </c>
      <c r="B2" s="12" t="s">
        <v>7</v>
      </c>
      <c r="C2" s="12">
        <v>9</v>
      </c>
      <c r="D2" s="12">
        <v>13</v>
      </c>
      <c r="E2" s="12">
        <v>6</v>
      </c>
      <c r="F2" s="12">
        <v>11</v>
      </c>
      <c r="G2" s="12">
        <v>7</v>
      </c>
      <c r="H2" s="15" t="str">
        <f>IF(C2&gt;=10,"Bravo Félicitation","Mettez vous au travail")</f>
        <v>Mettez vous au travail</v>
      </c>
      <c r="I2" s="16"/>
      <c r="J2" s="12" t="str">
        <f>IF(AND(B2="M",E2&gt;=10),"Vous avez 3000F","Nul")</f>
        <v>Nul</v>
      </c>
      <c r="K2" s="12" t="str">
        <f>IF(AND(B2="F",D2&gt;=10),"Vous etes une fille","Toy Boys")</f>
        <v>Vous etes une fille</v>
      </c>
    </row>
    <row r="3" spans="1:11" ht="15.75" thickBot="1" x14ac:dyDescent="0.3">
      <c r="A3" s="12" t="s">
        <v>24</v>
      </c>
      <c r="B3" s="12" t="s">
        <v>7</v>
      </c>
      <c r="C3" s="12">
        <v>8</v>
      </c>
      <c r="D3" s="12">
        <v>11</v>
      </c>
      <c r="E3" s="12">
        <v>9</v>
      </c>
      <c r="F3" s="12">
        <v>16</v>
      </c>
      <c r="G3" s="12">
        <v>8</v>
      </c>
      <c r="H3" s="15" t="str">
        <f>IF(C3&gt;=10,"Bravo Félicitation","Mettez vous au travail")</f>
        <v>Mettez vous au travail</v>
      </c>
      <c r="I3" s="16"/>
      <c r="J3" s="12" t="str">
        <f>IF(AND(B3="M",E3&gt;=10),"Vous avez 3000F","Nul")</f>
        <v>Nul</v>
      </c>
      <c r="K3" s="12" t="str">
        <f>IF(AND(B3="F",D3&gt;=10),"Vous etes une fille","Toy Boys")</f>
        <v>Vous etes une fille</v>
      </c>
    </row>
    <row r="4" spans="1:11" ht="15.75" thickBot="1" x14ac:dyDescent="0.3">
      <c r="A4" s="12" t="s">
        <v>2</v>
      </c>
      <c r="B4" s="12" t="s">
        <v>8</v>
      </c>
      <c r="C4" s="12">
        <v>7</v>
      </c>
      <c r="D4" s="12">
        <v>12</v>
      </c>
      <c r="E4" s="12">
        <v>10</v>
      </c>
      <c r="F4" s="12">
        <v>14</v>
      </c>
      <c r="G4" s="12">
        <v>6</v>
      </c>
      <c r="H4" s="15" t="str">
        <f>IF(C4&gt;=10,"Bravo Félicitation","Mettez vous au travail")</f>
        <v>Mettez vous au travail</v>
      </c>
      <c r="I4" s="16"/>
      <c r="J4" s="12" t="str">
        <f>IF(AND(B4="M",E4&gt;=10),"Vous avez 3000F","Nul")</f>
        <v>Vous avez 3000F</v>
      </c>
      <c r="K4" s="12" t="str">
        <f>IF(AND(B4="F",D4&gt;=10),"Vous etes une fille","Toy Boys")</f>
        <v>Toy Boys</v>
      </c>
    </row>
    <row r="5" spans="1:11" ht="15.75" thickBot="1" x14ac:dyDescent="0.3">
      <c r="A5" s="12" t="s">
        <v>4</v>
      </c>
      <c r="B5" s="12" t="s">
        <v>7</v>
      </c>
      <c r="C5" s="12">
        <v>12</v>
      </c>
      <c r="D5" s="12">
        <v>10</v>
      </c>
      <c r="E5" s="12">
        <v>11</v>
      </c>
      <c r="F5" s="12">
        <v>7</v>
      </c>
      <c r="G5" s="12">
        <v>5</v>
      </c>
      <c r="H5" s="15" t="str">
        <f>IF(C5&gt;=10,"Bravo Félicitation","Mettez vous au travail")</f>
        <v>Bravo Félicitation</v>
      </c>
      <c r="I5" s="16"/>
      <c r="J5" s="12" t="str">
        <f>IF(AND(B5="M",E5&gt;=10),"Vous avez 3000F","Nul")</f>
        <v>Nul</v>
      </c>
      <c r="K5" s="12" t="str">
        <f>IF(AND(B5="F",D5&gt;=10),"Vous etes une fille","Toy Boys")</f>
        <v>Vous etes une fille</v>
      </c>
    </row>
    <row r="6" spans="1:11" ht="15.75" thickBot="1" x14ac:dyDescent="0.3">
      <c r="A6" s="12" t="s">
        <v>5</v>
      </c>
      <c r="B6" s="12" t="s">
        <v>8</v>
      </c>
      <c r="C6" s="12">
        <v>5</v>
      </c>
      <c r="D6" s="12">
        <v>16</v>
      </c>
      <c r="E6" s="12">
        <v>13</v>
      </c>
      <c r="F6" s="12">
        <v>13</v>
      </c>
      <c r="G6" s="12">
        <v>4</v>
      </c>
      <c r="H6" s="15" t="str">
        <f>IF(C6&gt;=10,"Bravo Félicitation","Mettez vous au travail")</f>
        <v>Mettez vous au travail</v>
      </c>
      <c r="I6" s="16"/>
      <c r="J6" s="12" t="str">
        <f>IF(AND(B6="M",E6&gt;=10),"Vous avez 3000F","Nul")</f>
        <v>Vous avez 3000F</v>
      </c>
      <c r="K6" s="12" t="str">
        <f>IF(AND(B6="F",D6&gt;=10),"Vous etes une fille","Toy Boys")</f>
        <v>Toy Boys</v>
      </c>
    </row>
    <row r="7" spans="1:11" ht="15.75" thickBot="1" x14ac:dyDescent="0.3">
      <c r="A7" s="12" t="s">
        <v>3</v>
      </c>
      <c r="B7" s="12" t="s">
        <v>8</v>
      </c>
      <c r="C7" s="12">
        <v>14</v>
      </c>
      <c r="D7" s="12">
        <v>10</v>
      </c>
      <c r="E7" s="12">
        <v>15</v>
      </c>
      <c r="F7" s="12">
        <v>17</v>
      </c>
      <c r="G7" s="12">
        <v>9</v>
      </c>
      <c r="H7" s="15" t="str">
        <f>IF(C7&gt;=10,"Bravo Félicitation","Mettez vous au travail")</f>
        <v>Bravo Félicitation</v>
      </c>
      <c r="I7" s="16"/>
      <c r="J7" s="12" t="str">
        <f>IF(AND(B7="M",E7&gt;=10),"Vous avez 3000F","Nul")</f>
        <v>Vous avez 3000F</v>
      </c>
      <c r="K7" s="12" t="str">
        <f>IF(AND(B7="F",D7&gt;=10),"Vous etes une fille","Toy Boys")</f>
        <v>Toy Boys</v>
      </c>
    </row>
    <row r="8" spans="1:11" ht="15.75" thickBot="1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1" ht="15.75" thickBot="1" x14ac:dyDescent="0.3">
      <c r="A9" s="4"/>
      <c r="B9" s="4"/>
      <c r="C9" s="3" t="s">
        <v>14</v>
      </c>
      <c r="D9" s="3" t="s">
        <v>24</v>
      </c>
      <c r="E9" s="3" t="s">
        <v>15</v>
      </c>
      <c r="F9" s="3" t="s">
        <v>16</v>
      </c>
      <c r="G9" s="3" t="s">
        <v>17</v>
      </c>
      <c r="H9" s="3" t="s">
        <v>13</v>
      </c>
    </row>
    <row r="10" spans="1:11" ht="15.75" thickBot="1" x14ac:dyDescent="0.3">
      <c r="A10" s="3" t="s">
        <v>18</v>
      </c>
      <c r="B10" s="3"/>
      <c r="C10" s="2">
        <f>MAX(C3:G3)</f>
        <v>16</v>
      </c>
      <c r="D10" s="2">
        <f>MAX(C7:G7)</f>
        <v>17</v>
      </c>
      <c r="E10" s="2">
        <f>MAX(C2:G2)</f>
        <v>13</v>
      </c>
      <c r="F10" s="2">
        <f>MAX(C6:G6)</f>
        <v>16</v>
      </c>
      <c r="G10" s="2">
        <f>MAX(C5:G5)</f>
        <v>12</v>
      </c>
      <c r="H10" s="2">
        <f>MAX(C4:G4)</f>
        <v>14</v>
      </c>
    </row>
    <row r="11" spans="1:11" ht="15.75" thickBot="1" x14ac:dyDescent="0.3">
      <c r="A11" s="3" t="s">
        <v>19</v>
      </c>
      <c r="B11" s="3"/>
      <c r="C11" s="2">
        <f>MIN(C3:G3)</f>
        <v>8</v>
      </c>
      <c r="D11" s="2">
        <f>MIN(C7:G7)</f>
        <v>9</v>
      </c>
      <c r="E11" s="2">
        <f>MIN(C2:G2)</f>
        <v>6</v>
      </c>
      <c r="F11" s="2">
        <f>MIN(C6:G6)</f>
        <v>4</v>
      </c>
      <c r="G11" s="2">
        <f>MIN(C5:G5)</f>
        <v>5</v>
      </c>
      <c r="H11" s="2">
        <f>MIN(C4:G4)</f>
        <v>6</v>
      </c>
    </row>
  </sheetData>
  <autoFilter ref="A1:K7">
    <filterColumn colId="7" showButton="0"/>
    <sortState ref="A2:K7">
      <sortCondition ref="E1:E7"/>
    </sortState>
  </autoFilter>
  <conditionalFormatting sqref="C2:G7">
    <cfRule type="cellIs" dxfId="5" priority="6" operator="lessThan">
      <formula>10</formula>
    </cfRule>
    <cfRule type="cellIs" dxfId="4" priority="5" operator="greaterThan">
      <formula>15</formula>
    </cfRule>
  </conditionalFormatting>
  <conditionalFormatting sqref="C10:H11">
    <cfRule type="cellIs" dxfId="3" priority="4" operator="greaterThan">
      <formula>10</formula>
    </cfRule>
    <cfRule type="cellIs" dxfId="2" priority="3" operator="greaterThan">
      <formula>15</formula>
    </cfRule>
    <cfRule type="cellIs" dxfId="1" priority="2" operator="greaterThan">
      <formula>15</formula>
    </cfRule>
    <cfRule type="cellIs" dxfId="0" priority="1" operator="lessThan">
      <formula>10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2026-05-13T20:11:47Z</cp:lastPrinted>
  <dcterms:created xsi:type="dcterms:W3CDTF">2026-05-13T10:54:04Z</dcterms:created>
  <dcterms:modified xsi:type="dcterms:W3CDTF">2026-05-14T08:26:59Z</dcterms:modified>
</cp:coreProperties>
</file>